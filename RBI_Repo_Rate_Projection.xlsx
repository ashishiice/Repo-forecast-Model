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dicator Scoring" sheetId="2" state="visible" r:id="rId2"/>
    <sheet xmlns:r="http://schemas.openxmlformats.org/officeDocument/2006/relationships" name="Historical Data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eight Calibration" sheetId="5" state="visible" r:id="rId5"/>
    <sheet xmlns:r="http://schemas.openxmlformats.org/officeDocument/2006/relationships" name="MPC Calend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B2A4A"/>
      <sz val="18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B2A4A"/>
      <sz val="11"/>
    </font>
    <font>
      <name val="Calibri"/>
      <color rgb="00666666"/>
      <sz val="9"/>
    </font>
    <font>
      <name val="Calibri"/>
      <b val="1"/>
      <color rgb="001B2A4A"/>
      <sz val="14"/>
    </font>
    <font>
      <name val="Calibri"/>
      <b val="1"/>
      <color rgb="001B2A4A"/>
      <sz val="12"/>
    </font>
    <font>
      <name val="Calibri"/>
      <i val="1"/>
      <color rgb="00999999"/>
      <sz val="9"/>
    </font>
    <font>
      <name val="Calibri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C3E6B"/>
        <bgColor rgb="002C3E6B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FCE4EC"/>
        <bgColor rgb="00FCE4EC"/>
      </patternFill>
    </fill>
    <fill>
      <patternFill patternType="solid">
        <fgColor rgb="00FFF9C4"/>
        <bgColor rgb="00FFF9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E0B2"/>
        <bgColor rgb="00FFE0B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0" fontId="5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1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11" borderId="1" pivotButton="0" quotePrefix="0" xfId="0"/>
    <xf numFmtId="10" fontId="4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11" borderId="0" pivotButton="0" quotePrefix="0" xfId="0"/>
    <xf numFmtId="2" fontId="10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4" fillId="13" borderId="1" applyAlignment="1" pivotButton="0" quotePrefix="0" xfId="0">
      <alignment horizontal="center" vertical="center" wrapText="1"/>
    </xf>
    <xf numFmtId="0" fontId="5" fillId="13" borderId="1" pivotButton="0" quotePrefix="0" xfId="0"/>
    <xf numFmtId="0" fontId="4" fillId="14" borderId="1" applyAlignment="1" pivotButton="0" quotePrefix="0" xfId="0">
      <alignment horizontal="center" vertical="center" wrapText="1"/>
    </xf>
    <xf numFmtId="0" fontId="5" fillId="14" borderId="1" pivotButton="0" quotePrefix="0" xfId="0"/>
    <xf numFmtId="0" fontId="4" fillId="15" borderId="1" applyAlignment="1" pivotButton="0" quotePrefix="0" xfId="0">
      <alignment horizontal="center" vertical="center" wrapText="1"/>
    </xf>
    <xf numFmtId="0" fontId="5" fillId="15" borderId="1" pivotButton="0" quotePrefix="0" xfId="0"/>
    <xf numFmtId="2" fontId="5" fillId="4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8" fillId="0" borderId="1" pivotButton="0" quotePrefix="0" xfId="0"/>
    <xf numFmtId="0" fontId="12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4" fillId="11" borderId="1" pivotButton="0" quotePrefix="0" xfId="0"/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Repo Rate vs CPI Inflation</a:t>
            </a:r>
          </a:p>
        </rich>
      </tx>
    </title>
    <plotArea>
      <lineChart>
        <grouping val="standard"/>
        <ser>
          <idx val="0"/>
          <order val="0"/>
          <tx>
            <strRef>
              <f>'Historical Data'!D3</f>
            </strRef>
          </tx>
          <spPr>
            <a:ln xmlns:a="http://schemas.openxmlformats.org/drawingml/2006/main">
              <a:solidFill>
                <a:srgbClr val="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'Historical Data'!$B$4:$B$36</f>
            </numRef>
          </cat>
          <val>
            <numRef>
              <f>'Historical Data'!$D$4:$D$36</f>
            </numRef>
          </val>
        </ser>
        <ser>
          <idx val="1"/>
          <order val="1"/>
          <tx>
            <strRef>
              <f>'Historical Data'!E3</f>
            </strRef>
          </tx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'Historical Data'!$B$4:$B$36</f>
            </numRef>
          </cat>
          <val>
            <numRef>
              <f>'Historical Data'!$E$4:$E$36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MPC Meeting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/ Inflation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F4" authorId="0" shapeId="0">
      <text>
        <t>Enter score -5 (strongly dovish) to +5 (strongly hawkish).
Guidance: Above target = hawkish pressure
Range: 4.0% (dovish) to 6.0% (hawkish)</t>
      </text>
    </comment>
    <comment ref="F5" authorId="0" shapeId="0">
      <text>
        <t>Enter score -5 (strongly dovish) to +5 (strongly hawkish).
Guidance: Underlying inflation trend
Range: 3.5% (dovish) to 5.0% (hawkish)</t>
      </text>
    </comment>
    <comment ref="F6" authorId="0" shapeId="0">
      <text>
        <t>Enter score -5 (strongly dovish) to +5 (strongly hawkish).
Guidance: Input cost pressure
Range: 2.0% (dovish) to 4.0% (hawkish)</t>
      </text>
    </comment>
    <comment ref="F7" authorId="0" shapeId="0">
      <text>
        <t>Enter score -5 (strongly dovish) to +5 (strongly hawkish).
Guidance: Below potential = dovish
Range: 6.0% (dovish) to 8.0% (hawkish)</t>
      </text>
    </comment>
    <comment ref="F8" authorId="0" shapeId="0">
      <text>
        <t>Enter score -5 (strongly dovish) to +5 (strongly hawkish).
Guidance: Industrial momentum
Range: 2.0% (dovish) to 6.0% (hawkish)</t>
      </text>
    </comment>
    <comment ref="F9" authorId="0" shapeId="0">
      <text>
        <t>Enter score -5 (strongly dovish) to +5 (strongly hawkish).
Guidance: External vulnerability
Range: 1.5% (dovish) to 3.0% (hawkish)</t>
      </text>
    </comment>
    <comment ref="F10" authorId="0" shapeId="0">
      <text>
        <t>Enter score -5 (strongly dovish) to +5 (strongly hawkish).
Guidance: Inflation &amp; CAD import
Range: 70 (dovish) to 90 (hawkish)</t>
      </text>
    </comment>
    <comment ref="F11" authorId="0" shapeId="0">
      <text>
        <t>Enter score -5 (strongly dovish) to +5 (strongly hawkish).
Guidance: Rate differential / capital flows
Range: 3.0% (dovish) to 5.5% (hawkish)</t>
      </text>
    </comment>
    <comment ref="F12" authorId="0" shapeId="0">
      <text>
        <t>Enter score -5 (strongly dovish) to +5 (strongly hawkish).
Guidance: Rupee weakness = imported inflation
Range: 82.0 (dovish) to 87.0 (hawkish)</t>
      </text>
    </comment>
    <comment ref="F13" authorId="0" shapeId="0">
      <text>
        <t>Enter score -5 (strongly dovish) to +5 (strongly hawkish).
Guidance: Buffer strength
Range: 600 (dovish) to 650 (hawkish)</t>
      </text>
    </comment>
    <comment ref="F14" authorId="0" shapeId="0">
      <text>
        <t>Enter score -5 (strongly dovish) to +5 (strongly hawkish).
Guidance: Capital account health
Range: -3 (dovish) to 3 (hawkish)</t>
      </text>
    </comment>
    <comment ref="F15" authorId="0" shapeId="0">
      <text>
        <t>Enter score -5 (strongly dovish) to +5 (strongly hawkish).
Guidance: Liquidity tightness
Range: 10 (dovish) to 50 (hawkish)</t>
      </text>
    </comment>
    <comment ref="F16" authorId="0" shapeId="0">
      <text>
        <t>Enter score -5 (strongly dovish) to +5 (strongly hawkish).
Guidance: System liquidity stance
Range: -50000 (dovish) to 50000 (hawkish)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38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RBI REPO RATE PROJECTION MODEL</t>
        </is>
      </c>
    </row>
    <row r="3">
      <c r="B3" s="2" t="inlineStr">
        <is>
          <t>13-Indicator Weighted Scoring Framework | MPC Decision Driver Analysis</t>
        </is>
      </c>
    </row>
    <row r="5">
      <c r="B5" s="3" t="inlineStr">
        <is>
          <t>CURRENT STATE</t>
        </is>
      </c>
      <c r="C5" s="3" t="n"/>
      <c r="D5" s="3" t="n"/>
      <c r="E5" s="3" t="n"/>
      <c r="F5" s="3" t="n"/>
      <c r="G5" s="3" t="n"/>
    </row>
    <row r="6">
      <c r="B6" s="4" t="inlineStr">
        <is>
          <t>Current Repo Rate</t>
        </is>
      </c>
      <c r="C6" s="5" t="inlineStr">
        <is>
          <t>6.00%</t>
        </is>
      </c>
    </row>
    <row r="7">
      <c r="B7" s="4" t="inlineStr">
        <is>
          <t>Last MPC Decision</t>
        </is>
      </c>
      <c r="C7" s="5" t="inlineStr">
        <is>
          <t>Feb 2026 — Cut to 6.00%</t>
        </is>
      </c>
    </row>
    <row r="8">
      <c r="B8" s="4" t="inlineStr">
        <is>
          <t>CPI Inflation</t>
        </is>
      </c>
      <c r="C8" s="5" t="inlineStr">
        <is>
          <t>4.26% (Jan 2026)</t>
        </is>
      </c>
    </row>
    <row r="9">
      <c r="B9" s="4" t="inlineStr">
        <is>
          <t>GDP Growth (Latest)</t>
        </is>
      </c>
      <c r="C9" s="5" t="inlineStr">
        <is>
          <t>6.50% (Q3 FY25)</t>
        </is>
      </c>
    </row>
    <row r="10">
      <c r="B10" s="4" t="inlineStr">
        <is>
          <t>Stance</t>
        </is>
      </c>
      <c r="C10" s="5" t="inlineStr">
        <is>
          <t>Accommodative</t>
        </is>
      </c>
    </row>
    <row r="11">
      <c r="B11" s="4" t="inlineStr">
        <is>
          <t>Projection Score</t>
        </is>
      </c>
      <c r="C11" s="5" t="inlineStr">
        <is>
          <t>—</t>
        </is>
      </c>
    </row>
    <row r="13">
      <c r="B13" s="3" t="inlineStr">
        <is>
          <t>PROJECTION SUMMARY</t>
        </is>
      </c>
      <c r="C13" s="3" t="n"/>
      <c r="D13" s="3" t="n"/>
      <c r="E13" s="3" t="n"/>
      <c r="F13" s="3" t="n"/>
      <c r="G13" s="3" t="n"/>
    </row>
    <row r="14">
      <c r="B14" s="6" t="inlineStr">
        <is>
          <t>MPC Meeting</t>
        </is>
      </c>
      <c r="C14" s="6" t="inlineStr">
        <is>
          <t>Likely Action</t>
        </is>
      </c>
      <c r="D14" s="6" t="inlineStr">
        <is>
          <t>Probability</t>
        </is>
      </c>
      <c r="E14" s="6" t="inlineStr">
        <is>
          <t>Rate Level</t>
        </is>
      </c>
      <c r="F14" s="6" t="inlineStr">
        <is>
          <t>Confidence</t>
        </is>
      </c>
      <c r="G14" s="6" t="inlineStr">
        <is>
          <t>Key Driver</t>
        </is>
      </c>
    </row>
    <row r="15">
      <c r="B15" s="7" t="inlineStr">
        <is>
          <t>Apr 2026</t>
        </is>
      </c>
      <c r="C15" s="7" t="inlineStr">
        <is>
          <t>Hold / 25bp Cut</t>
        </is>
      </c>
      <c r="D15" s="7" t="inlineStr">
        <is>
          <t>60% / 35%</t>
        </is>
      </c>
      <c r="E15" s="7" t="inlineStr">
        <is>
          <t>6.00% / 5.75%</t>
        </is>
      </c>
      <c r="F15" s="7" t="inlineStr">
        <is>
          <t>Medium</t>
        </is>
      </c>
      <c r="G15" s="8" t="inlineStr">
        <is>
          <t>CPI within target, growth recovering</t>
        </is>
      </c>
    </row>
    <row r="16">
      <c r="B16" s="9" t="inlineStr">
        <is>
          <t>Jun 2026</t>
        </is>
      </c>
      <c r="C16" s="9" t="inlineStr">
        <is>
          <t>25bp Cut</t>
        </is>
      </c>
      <c r="D16" s="9" t="inlineStr">
        <is>
          <t>55%</t>
        </is>
      </c>
      <c r="E16" s="9" t="inlineStr">
        <is>
          <t>5.75%</t>
        </is>
      </c>
      <c r="F16" s="9" t="inlineStr">
        <is>
          <t>Medium</t>
        </is>
      </c>
      <c r="G16" s="10" t="inlineStr">
        <is>
          <t>If CPI stays &lt; 5%, room for easing</t>
        </is>
      </c>
    </row>
    <row r="17">
      <c r="B17" s="7" t="inlineStr">
        <is>
          <t>Aug 2026</t>
        </is>
      </c>
      <c r="C17" s="7" t="inlineStr">
        <is>
          <t>25bp Cut</t>
        </is>
      </c>
      <c r="D17" s="7" t="inlineStr">
        <is>
          <t>45%</t>
        </is>
      </c>
      <c r="E17" s="7" t="inlineStr">
        <is>
          <t>5.50%</t>
        </is>
      </c>
      <c r="F17" s="7" t="inlineStr">
        <is>
          <t>Low-Med</t>
        </is>
      </c>
      <c r="G17" s="8" t="inlineStr">
        <is>
          <t>Depends on monsoon &amp; crude</t>
        </is>
      </c>
    </row>
    <row r="18">
      <c r="B18" s="9" t="inlineStr">
        <is>
          <t>Oct 2026</t>
        </is>
      </c>
      <c r="C18" s="9" t="inlineStr">
        <is>
          <t>Hold</t>
        </is>
      </c>
      <c r="D18" s="9" t="inlineStr">
        <is>
          <t>50%</t>
        </is>
      </c>
      <c r="E18" s="9" t="inlineStr">
        <is>
          <t>5.50%</t>
        </is>
      </c>
      <c r="F18" s="9" t="inlineStr">
        <is>
          <t>Low</t>
        </is>
      </c>
      <c r="G18" s="10" t="inlineStr">
        <is>
          <t>Pre-budget caution</t>
        </is>
      </c>
    </row>
    <row r="19">
      <c r="B19" s="7" t="inlineStr">
        <is>
          <t>Dec 2026</t>
        </is>
      </c>
      <c r="C19" s="7" t="inlineStr">
        <is>
          <t>25bp Cut</t>
        </is>
      </c>
      <c r="D19" s="7" t="inlineStr">
        <is>
          <t>40%</t>
        </is>
      </c>
      <c r="E19" s="7" t="inlineStr">
        <is>
          <t>5.25%</t>
        </is>
      </c>
      <c r="F19" s="7" t="inlineStr">
        <is>
          <t>Low</t>
        </is>
      </c>
      <c r="G19" s="8" t="inlineStr">
        <is>
          <t>If inflation benign, MPC eases</t>
        </is>
      </c>
    </row>
    <row r="22">
      <c r="B22" s="3" t="inlineStr">
        <is>
          <t>SCENARIO ANALYSIS</t>
        </is>
      </c>
      <c r="C22" s="3" t="n"/>
      <c r="D22" s="3" t="n"/>
      <c r="E22" s="3" t="n"/>
      <c r="F22" s="3" t="n"/>
      <c r="G22" s="3" t="n"/>
    </row>
    <row r="23">
      <c r="B23" s="6" t="inlineStr">
        <is>
          <t>Scenario</t>
        </is>
      </c>
      <c r="C23" s="6" t="inlineStr">
        <is>
          <t>Repo Rate End-2026</t>
        </is>
      </c>
      <c r="D23" s="6" t="inlineStr">
        <is>
          <t>Probability</t>
        </is>
      </c>
      <c r="E23" s="6" t="inlineStr">
        <is>
          <t>Trigger</t>
        </is>
      </c>
      <c r="F23" s="6" t="inlineStr">
        <is>
          <t>Impact on ALM</t>
        </is>
      </c>
      <c r="G23" s="6" t="inlineStr">
        <is>
          <t>Action</t>
        </is>
      </c>
    </row>
    <row r="24">
      <c r="B24" s="11" t="inlineStr">
        <is>
          <t>Dovish (50-75bp cuts)</t>
        </is>
      </c>
      <c r="C24" s="11" t="inlineStr">
        <is>
          <t>5.25–5.50%</t>
        </is>
      </c>
      <c r="D24" s="11" t="inlineStr">
        <is>
          <t>30%</t>
        </is>
      </c>
      <c r="E24" s="11" t="inlineStr">
        <is>
          <t>CPI &lt; 4%, GDP &lt; 6%</t>
        </is>
      </c>
      <c r="F24" s="12" t="inlineStr">
        <is>
          <t>Lower borrowing cost, repricing risk</t>
        </is>
      </c>
      <c r="G24" s="12" t="inlineStr">
        <is>
          <t>Lock in fixed rates on liabilities</t>
        </is>
      </c>
    </row>
    <row r="25">
      <c r="B25" s="13" t="inlineStr">
        <is>
          <t>Base Case (25bp cut)</t>
        </is>
      </c>
      <c r="C25" s="13" t="inlineStr">
        <is>
          <t>5.75%</t>
        </is>
      </c>
      <c r="D25" s="13" t="inlineStr">
        <is>
          <t>45%</t>
        </is>
      </c>
      <c r="E25" s="13" t="inlineStr">
        <is>
          <t>CPI 4–5%, GDP ~6.5%</t>
        </is>
      </c>
      <c r="F25" s="14" t="inlineStr">
        <is>
          <t>Gradual ALM benefit</t>
        </is>
      </c>
      <c r="G25" s="14" t="inlineStr">
        <is>
          <t>Stagger NCD maturities</t>
        </is>
      </c>
    </row>
    <row r="26">
      <c r="B26" s="15" t="inlineStr">
        <is>
          <t>Hawkish (hold/rise)</t>
        </is>
      </c>
      <c r="C26" s="15" t="inlineStr">
        <is>
          <t>6.00–6.25%</t>
        </is>
      </c>
      <c r="D26" s="15" t="inlineStr">
        <is>
          <t>20%</t>
        </is>
      </c>
      <c r="E26" s="15" t="inlineStr">
        <is>
          <t>CPI &gt; 6%, crude &gt; $90</t>
        </is>
      </c>
      <c r="F26" s="16" t="inlineStr">
        <is>
          <t>Higher cost of funds</t>
        </is>
      </c>
      <c r="G26" s="16" t="inlineStr">
        <is>
          <t>Increase fixed-rate assets</t>
        </is>
      </c>
    </row>
    <row r="27">
      <c r="B27" s="17" t="inlineStr">
        <is>
          <t>Shock (crude/fx crisis)</t>
        </is>
      </c>
      <c r="C27" s="17" t="inlineStr">
        <is>
          <t>6.25–6.75%</t>
        </is>
      </c>
      <c r="D27" s="17" t="inlineStr">
        <is>
          <t>5%</t>
        </is>
      </c>
      <c r="E27" s="17" t="inlineStr">
        <is>
          <t>Brent &gt; $100, INR &gt; 90</t>
        </is>
      </c>
      <c r="F27" s="18" t="inlineStr">
        <is>
          <t>Liquidity squeeze</t>
        </is>
      </c>
      <c r="G27" s="18" t="inlineStr">
        <is>
          <t>Raise应急 liquidity buffer</t>
        </is>
      </c>
    </row>
    <row r="29">
      <c r="B29" s="19" t="inlineStr">
        <is>
          <t>MODEL NOTES</t>
        </is>
      </c>
    </row>
    <row r="30">
      <c r="B30" s="20" t="inlineStr">
        <is>
          <t>• Weights reflect MPC voting patterns since 2020. CPI carries highest weight (18%) — RBI's primary mandate.</t>
        </is>
      </c>
    </row>
    <row r="31">
      <c r="B31" s="20" t="inlineStr">
        <is>
          <t>• Update ASSUMPTIONS sheet with latest data before each MPC meeting (typically bi-monthly).</t>
        </is>
      </c>
    </row>
    <row r="32">
      <c r="B32" s="20" t="inlineStr">
        <is>
          <t>• Scenario probabilities are subjective — adjust based on your market view and Bloomberg consensus.</t>
        </is>
      </c>
    </row>
    <row r="33">
      <c r="B33" s="20" t="inlineStr">
        <is>
          <t>• This model does NOT replace judgment. It structures the analysis. You still decide.</t>
        </is>
      </c>
    </row>
    <row r="34">
      <c r="B34" s="20" t="inlineStr">
        <is>
          <t>• Calibrate weights after every 4 MPC meetings to reflect shifting priorities.</t>
        </is>
      </c>
    </row>
  </sheetData>
  <mergeCells count="17">
    <mergeCell ref="B3:G3"/>
    <mergeCell ref="B2:G2"/>
    <mergeCell ref="B34:G34"/>
    <mergeCell ref="C11:E11"/>
    <mergeCell ref="B5:G5"/>
    <mergeCell ref="B22:G22"/>
    <mergeCell ref="B31:G31"/>
    <mergeCell ref="C8:E8"/>
    <mergeCell ref="C9:E9"/>
    <mergeCell ref="B32:G32"/>
    <mergeCell ref="B13:G13"/>
    <mergeCell ref="C7:E7"/>
    <mergeCell ref="B30:G30"/>
    <mergeCell ref="B29:G29"/>
    <mergeCell ref="B33:G33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B1:I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40" customWidth="1" min="10" max="10"/>
  </cols>
  <sheetData>
    <row r="1">
      <c r="B1" s="21" t="inlineStr">
        <is>
          <t>INDICATOR SCORING MATRIX</t>
        </is>
      </c>
    </row>
    <row r="3">
      <c r="B3" s="22" t="inlineStr">
        <is>
          <t>Indicator</t>
        </is>
      </c>
      <c r="C3" s="22" t="inlineStr">
        <is>
          <t>Weight</t>
        </is>
      </c>
      <c r="D3" s="22" t="inlineStr">
        <is>
          <t>Current Value</t>
        </is>
      </c>
      <c r="E3" s="22" t="inlineStr">
        <is>
          <t>Dove / Hawk</t>
        </is>
      </c>
      <c r="F3" s="22" t="inlineStr">
        <is>
          <t>Score (-5 to +5)</t>
        </is>
      </c>
      <c r="G3" s="22" t="inlineStr">
        <is>
          <t>Weighted Score</t>
        </is>
      </c>
      <c r="H3" s="22" t="inlineStr">
        <is>
          <t>Direction</t>
        </is>
      </c>
      <c r="I3" s="22" t="inlineStr">
        <is>
          <t>Notes</t>
        </is>
      </c>
    </row>
    <row r="4">
      <c r="B4" s="23" t="inlineStr">
        <is>
          <t>CPI Inflation (YoY)</t>
        </is>
      </c>
      <c r="C4" s="24" t="n">
        <v>0.18</v>
      </c>
      <c r="D4" s="7" t="n">
        <v>4.26</v>
      </c>
      <c r="E4" s="7" t="inlineStr">
        <is>
          <t>Hawk ↑</t>
        </is>
      </c>
      <c r="F4" s="25" t="n"/>
      <c r="G4" s="7">
        <f>F4*C4</f>
        <v/>
      </c>
      <c r="H4" s="7" t="inlineStr">
        <is>
          <t>inverse</t>
        </is>
      </c>
      <c r="I4" s="26" t="inlineStr">
        <is>
          <t>4.0% → 6.0% | Above target = hawkish pressure</t>
        </is>
      </c>
    </row>
    <row r="5">
      <c r="B5" s="4" t="inlineStr">
        <is>
          <t>Core CPI (ex food &amp; fuel)</t>
        </is>
      </c>
      <c r="C5" s="27" t="n">
        <v>0.1</v>
      </c>
      <c r="D5" s="28" t="n">
        <v>4.1</v>
      </c>
      <c r="E5" s="28" t="inlineStr">
        <is>
          <t>Hawk ↑</t>
        </is>
      </c>
      <c r="F5" s="25" t="n"/>
      <c r="G5" s="28">
        <f>F5*C5</f>
        <v/>
      </c>
      <c r="H5" s="28" t="inlineStr">
        <is>
          <t>inverse</t>
        </is>
      </c>
      <c r="I5" s="29" t="inlineStr">
        <is>
          <t>3.5% → 5.0% | Underlying inflation trend</t>
        </is>
      </c>
    </row>
    <row r="6">
      <c r="B6" s="23" t="inlineStr">
        <is>
          <t>WPI Inflation (YoY)</t>
        </is>
      </c>
      <c r="C6" s="24" t="n">
        <v>0.05</v>
      </c>
      <c r="D6" s="7" t="n">
        <v>2.31</v>
      </c>
      <c r="E6" s="7" t="inlineStr">
        <is>
          <t>Hawk ↑</t>
        </is>
      </c>
      <c r="F6" s="25" t="n"/>
      <c r="G6" s="7">
        <f>F6*C6</f>
        <v/>
      </c>
      <c r="H6" s="7" t="inlineStr">
        <is>
          <t>inverse</t>
        </is>
      </c>
      <c r="I6" s="26" t="inlineStr">
        <is>
          <t>2.0% → 4.0% | Input cost pressure</t>
        </is>
      </c>
    </row>
    <row r="7">
      <c r="B7" s="4" t="inlineStr">
        <is>
          <t>GDP Growth (YoY)</t>
        </is>
      </c>
      <c r="C7" s="27" t="n">
        <v>0.12</v>
      </c>
      <c r="D7" s="28" t="n">
        <v>6.5</v>
      </c>
      <c r="E7" s="28" t="inlineStr">
        <is>
          <t>Dove ↓</t>
        </is>
      </c>
      <c r="F7" s="25" t="n"/>
      <c r="G7" s="28">
        <f>F7*C7</f>
        <v/>
      </c>
      <c r="H7" s="28" t="inlineStr">
        <is>
          <t>direct</t>
        </is>
      </c>
      <c r="I7" s="29" t="inlineStr">
        <is>
          <t>6.0% → 8.0% | Below potential = dovish</t>
        </is>
      </c>
    </row>
    <row r="8">
      <c r="B8" s="23" t="inlineStr">
        <is>
          <t>IIP Growth (YoY)</t>
        </is>
      </c>
      <c r="C8" s="24" t="n">
        <v>0.04</v>
      </c>
      <c r="D8" s="7" t="n">
        <v>0</v>
      </c>
      <c r="E8" s="7" t="inlineStr">
        <is>
          <t>Dove ↓</t>
        </is>
      </c>
      <c r="F8" s="25" t="n"/>
      <c r="G8" s="7">
        <f>F8*C8</f>
        <v/>
      </c>
      <c r="H8" s="7" t="inlineStr">
        <is>
          <t>direct</t>
        </is>
      </c>
      <c r="I8" s="26" t="inlineStr">
        <is>
          <t>2.0% → 6.0% | Industrial momentum</t>
        </is>
      </c>
    </row>
    <row r="9">
      <c r="B9" s="4" t="inlineStr">
        <is>
          <t>CAD (% of GDP)</t>
        </is>
      </c>
      <c r="C9" s="27" t="n">
        <v>0.08</v>
      </c>
      <c r="D9" s="28" t="n">
        <v>1.2</v>
      </c>
      <c r="E9" s="28" t="inlineStr">
        <is>
          <t>Hawk ↑</t>
        </is>
      </c>
      <c r="F9" s="25" t="n"/>
      <c r="G9" s="28">
        <f>F9*C9</f>
        <v/>
      </c>
      <c r="H9" s="28" t="inlineStr">
        <is>
          <t>inverse</t>
        </is>
      </c>
      <c r="I9" s="29" t="inlineStr">
        <is>
          <t>1.5% → 3.0% | External vulnerability</t>
        </is>
      </c>
    </row>
    <row r="10">
      <c r="B10" s="23" t="inlineStr">
        <is>
          <t>Crude Oil (Brent, $/bbl)</t>
        </is>
      </c>
      <c r="C10" s="24" t="n">
        <v>0.07000000000000001</v>
      </c>
      <c r="D10" s="7" t="n">
        <v>72</v>
      </c>
      <c r="E10" s="7" t="inlineStr">
        <is>
          <t>Hawk ↑</t>
        </is>
      </c>
      <c r="F10" s="25" t="n"/>
      <c r="G10" s="7">
        <f>F10*C10</f>
        <v/>
      </c>
      <c r="H10" s="7" t="inlineStr">
        <is>
          <t>inverse</t>
        </is>
      </c>
      <c r="I10" s="26" t="inlineStr">
        <is>
          <t>70 → 90 | Inflation &amp; CAD import</t>
        </is>
      </c>
    </row>
    <row r="11">
      <c r="B11" s="4" t="inlineStr">
        <is>
          <t>Fed Funds Rate (%)</t>
        </is>
      </c>
      <c r="C11" s="27" t="n">
        <v>0.06</v>
      </c>
      <c r="D11" s="28" t="n">
        <v>4.5</v>
      </c>
      <c r="E11" s="28" t="inlineStr">
        <is>
          <t>Dove ↓</t>
        </is>
      </c>
      <c r="F11" s="25" t="n"/>
      <c r="G11" s="28">
        <f>F11*C11</f>
        <v/>
      </c>
      <c r="H11" s="28" t="inlineStr">
        <is>
          <t>direct</t>
        </is>
      </c>
      <c r="I11" s="29" t="inlineStr">
        <is>
          <t>3.0% → 5.5% | Rate differential / capital flows</t>
        </is>
      </c>
    </row>
    <row r="12">
      <c r="B12" s="23" t="inlineStr">
        <is>
          <t>USD/INR Rate</t>
        </is>
      </c>
      <c r="C12" s="24" t="n">
        <v>0.05</v>
      </c>
      <c r="D12" s="7" t="n">
        <v>86.5</v>
      </c>
      <c r="E12" s="7" t="inlineStr">
        <is>
          <t>Hawk ↑</t>
        </is>
      </c>
      <c r="F12" s="25" t="n"/>
      <c r="G12" s="7">
        <f>F12*C12</f>
        <v/>
      </c>
      <c r="H12" s="7" t="inlineStr">
        <is>
          <t>inverse</t>
        </is>
      </c>
      <c r="I12" s="26" t="inlineStr">
        <is>
          <t>82.0 → 87.0 | Rupee weakness = imported inflation</t>
        </is>
      </c>
    </row>
    <row r="13">
      <c r="B13" s="4" t="inlineStr">
        <is>
          <t>Forex Reserves ($ bn)</t>
        </is>
      </c>
      <c r="C13" s="27" t="n">
        <v>0.04</v>
      </c>
      <c r="D13" s="28" t="n">
        <v>640</v>
      </c>
      <c r="E13" s="28" t="inlineStr">
        <is>
          <t>Dove ↓</t>
        </is>
      </c>
      <c r="F13" s="25" t="n"/>
      <c r="G13" s="28">
        <f>F13*C13</f>
        <v/>
      </c>
      <c r="H13" s="28" t="inlineStr">
        <is>
          <t>direct</t>
        </is>
      </c>
      <c r="I13" s="29" t="inlineStr">
        <is>
          <t>600 → 650 | Buffer strength</t>
        </is>
      </c>
    </row>
    <row r="14">
      <c r="B14" s="23" t="inlineStr">
        <is>
          <t>FII Net Flows (monthly, $bn)</t>
        </is>
      </c>
      <c r="C14" s="24" t="n">
        <v>0.04</v>
      </c>
      <c r="D14" s="7" t="n">
        <v>1.5</v>
      </c>
      <c r="E14" s="7" t="inlineStr">
        <is>
          <t>Dove ↓</t>
        </is>
      </c>
      <c r="F14" s="25" t="n"/>
      <c r="G14" s="7">
        <f>F14*C14</f>
        <v/>
      </c>
      <c r="H14" s="7" t="inlineStr">
        <is>
          <t>direct</t>
        </is>
      </c>
      <c r="I14" s="26" t="inlineStr">
        <is>
          <t>-3 → 3 | Capital account health</t>
        </is>
      </c>
    </row>
    <row r="15">
      <c r="B15" s="4" t="inlineStr">
        <is>
          <t>MIBOR-OIS Spread (bps)</t>
        </is>
      </c>
      <c r="C15" s="27" t="n">
        <v>0.05</v>
      </c>
      <c r="D15" s="28" t="n">
        <v>15</v>
      </c>
      <c r="E15" s="28" t="inlineStr">
        <is>
          <t>Hawk ↑</t>
        </is>
      </c>
      <c r="F15" s="25" t="n"/>
      <c r="G15" s="28">
        <f>F15*C15</f>
        <v/>
      </c>
      <c r="H15" s="28" t="inlineStr">
        <is>
          <t>inverse</t>
        </is>
      </c>
      <c r="I15" s="29" t="inlineStr">
        <is>
          <t>10 → 50 | Liquidity tightness</t>
        </is>
      </c>
    </row>
    <row r="16">
      <c r="B16" s="23" t="inlineStr">
        <is>
          <t>LAF Deficit/Surplus (₹ Cr)</t>
        </is>
      </c>
      <c r="C16" s="24" t="n">
        <v>0.06</v>
      </c>
      <c r="D16" s="7" t="n">
        <v>-20000</v>
      </c>
      <c r="E16" s="7" t="inlineStr">
        <is>
          <t>Hawk ↑</t>
        </is>
      </c>
      <c r="F16" s="25" t="n"/>
      <c r="G16" s="7">
        <f>F16*C16</f>
        <v/>
      </c>
      <c r="H16" s="7" t="inlineStr">
        <is>
          <t>inverse</t>
        </is>
      </c>
      <c r="I16" s="26" t="inlineStr">
        <is>
          <t>-50000 → 50000 | System liquidity stance</t>
        </is>
      </c>
    </row>
    <row r="17">
      <c r="B17" s="30" t="inlineStr">
        <is>
          <t>TOTAL WEIGHTED SCORE</t>
        </is>
      </c>
      <c r="C17" s="31">
        <f>SUM(C4:C16)</f>
        <v/>
      </c>
      <c r="D17" s="32" t="n"/>
      <c r="E17" s="33" t="n"/>
      <c r="F17" s="32" t="n"/>
      <c r="G17" s="34">
        <f>SUM(G4:G16)</f>
        <v/>
      </c>
      <c r="H17" s="33" t="n"/>
      <c r="I17" s="33" t="n"/>
    </row>
    <row r="19">
      <c r="B19" s="19" t="inlineStr">
        <is>
          <t>SCORE INTERPRETATION</t>
        </is>
      </c>
    </row>
    <row r="20">
      <c r="B20" s="35" t="inlineStr">
        <is>
          <t>≤ -0.30</t>
        </is>
      </c>
      <c r="C20" s="36" t="inlineStr">
        <is>
          <t>Strongly Dovish</t>
        </is>
      </c>
      <c r="D20" s="36" t="inlineStr">
        <is>
          <t>Expect 50bp+ cut in next 2 meetings</t>
        </is>
      </c>
    </row>
    <row r="21">
      <c r="B21" s="37" t="inlineStr">
        <is>
          <t>-0.30 to -0.10</t>
        </is>
      </c>
      <c r="C21" s="38" t="inlineStr">
        <is>
          <t>Moderately Dovish</t>
        </is>
      </c>
      <c r="D21" s="38" t="inlineStr">
        <is>
          <t>Expect 25bp cut in next 1-2 meetings</t>
        </is>
      </c>
    </row>
    <row r="22">
      <c r="B22" s="39" t="inlineStr">
        <is>
          <t>-0.10 to +0.10</t>
        </is>
      </c>
      <c r="C22" s="40" t="inlineStr">
        <is>
          <t>Neutral / Hold</t>
        </is>
      </c>
      <c r="D22" s="40" t="inlineStr">
        <is>
          <t>Status quo likely</t>
        </is>
      </c>
    </row>
    <row r="23">
      <c r="B23" s="41" t="inlineStr">
        <is>
          <t>+0.10 to +0.30</t>
        </is>
      </c>
      <c r="C23" s="42" t="inlineStr">
        <is>
          <t>Moderately Hawkish</t>
        </is>
      </c>
      <c r="D23" s="42" t="inlineStr">
        <is>
          <t>Possibility of 25bp hike</t>
        </is>
      </c>
    </row>
    <row r="24">
      <c r="B24" s="43" t="inlineStr">
        <is>
          <t>≥ +0.30</t>
        </is>
      </c>
      <c r="C24" s="44" t="inlineStr">
        <is>
          <t>Strongly Hawkish</t>
        </is>
      </c>
      <c r="D24" s="44" t="inlineStr">
        <is>
          <t>Expect 25-50bp hike</t>
        </is>
      </c>
    </row>
  </sheetData>
  <mergeCells count="7">
    <mergeCell ref="D23:F23"/>
    <mergeCell ref="D20:F20"/>
    <mergeCell ref="D22:F22"/>
    <mergeCell ref="B19:I19"/>
    <mergeCell ref="D21:F21"/>
    <mergeCell ref="B1:I1"/>
    <mergeCell ref="D24:F2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B1:F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0" customWidth="1" min="7" max="7"/>
  </cols>
  <sheetData>
    <row r="1">
      <c r="B1" s="21" t="inlineStr">
        <is>
          <t>HISTORICAL MPC DECISIONS &amp; MACRO DATA</t>
        </is>
      </c>
    </row>
    <row r="3">
      <c r="B3" s="22" t="inlineStr">
        <is>
          <t>MPC Meeting</t>
        </is>
      </c>
      <c r="C3" s="22" t="inlineStr">
        <is>
          <t>Repo Rate (Before)</t>
        </is>
      </c>
      <c r="D3" s="22" t="inlineStr">
        <is>
          <t>Repo Rate (After)</t>
        </is>
      </c>
      <c r="E3" s="22" t="inlineStr">
        <is>
          <t>CPI Inflation</t>
        </is>
      </c>
      <c r="F3" s="22" t="inlineStr">
        <is>
          <t>GDP Growth</t>
        </is>
      </c>
    </row>
    <row r="4">
      <c r="B4" s="7" t="inlineStr">
        <is>
          <t>Feb-2020</t>
        </is>
      </c>
      <c r="C4" s="45" t="n">
        <v>5.15</v>
      </c>
      <c r="D4" s="45" t="n">
        <v>4.9</v>
      </c>
      <c r="E4" s="45" t="n">
        <v>6.58</v>
      </c>
      <c r="F4" s="45" t="n">
        <v>4.26</v>
      </c>
    </row>
    <row r="5">
      <c r="B5" s="9" t="inlineStr">
        <is>
          <t>Apr-2020</t>
        </is>
      </c>
      <c r="C5" s="46" t="n">
        <v>4.4</v>
      </c>
      <c r="D5" s="46" t="n">
        <v>4.4</v>
      </c>
      <c r="E5" s="46" t="n">
        <v>7.2</v>
      </c>
      <c r="F5" s="46" t="n">
        <v>1.6</v>
      </c>
    </row>
    <row r="6">
      <c r="B6" s="7" t="inlineStr">
        <is>
          <t>Jun-2020</t>
        </is>
      </c>
      <c r="C6" s="45" t="n">
        <v>4</v>
      </c>
      <c r="D6" s="45" t="n">
        <v>4</v>
      </c>
      <c r="E6" s="45" t="n">
        <v>5.39</v>
      </c>
      <c r="F6" s="45" t="n">
        <v>-23.9</v>
      </c>
    </row>
    <row r="7">
      <c r="B7" s="9" t="inlineStr">
        <is>
          <t>Aug-2020</t>
        </is>
      </c>
      <c r="C7" s="46" t="n">
        <v>4</v>
      </c>
      <c r="D7" s="46" t="n">
        <v>4</v>
      </c>
      <c r="E7" s="46" t="n">
        <v>6.73</v>
      </c>
      <c r="F7" s="46" t="n">
        <v>-7.3</v>
      </c>
    </row>
    <row r="8">
      <c r="B8" s="7" t="inlineStr">
        <is>
          <t>Oct-2020</t>
        </is>
      </c>
      <c r="C8" s="45" t="n">
        <v>4</v>
      </c>
      <c r="D8" s="45" t="n">
        <v>4</v>
      </c>
      <c r="E8" s="45" t="n">
        <v>7.61</v>
      </c>
      <c r="F8" s="45" t="n">
        <v>-7.5</v>
      </c>
    </row>
    <row r="9">
      <c r="B9" s="9" t="inlineStr">
        <is>
          <t>Dec-2020</t>
        </is>
      </c>
      <c r="C9" s="46" t="n">
        <v>4</v>
      </c>
      <c r="D9" s="46" t="n">
        <v>4</v>
      </c>
      <c r="E9" s="46" t="n">
        <v>4.59</v>
      </c>
      <c r="F9" s="46" t="n">
        <v>-8.4</v>
      </c>
    </row>
    <row r="10">
      <c r="B10" s="7" t="inlineStr">
        <is>
          <t>Feb-2021</t>
        </is>
      </c>
      <c r="C10" s="45" t="n">
        <v>4</v>
      </c>
      <c r="D10" s="45" t="n">
        <v>4</v>
      </c>
      <c r="E10" s="45" t="n">
        <v>4.48</v>
      </c>
      <c r="F10" s="45" t="n">
        <v>0.5</v>
      </c>
    </row>
    <row r="11">
      <c r="B11" s="9" t="inlineStr">
        <is>
          <t>Apr-2021</t>
        </is>
      </c>
      <c r="C11" s="46" t="n">
        <v>4</v>
      </c>
      <c r="D11" s="46" t="n">
        <v>4</v>
      </c>
      <c r="E11" s="46" t="n">
        <v>4.23</v>
      </c>
      <c r="F11" s="46" t="n">
        <v>1.6</v>
      </c>
    </row>
    <row r="12">
      <c r="B12" s="7" t="inlineStr">
        <is>
          <t>Jun-2021</t>
        </is>
      </c>
      <c r="C12" s="45" t="n">
        <v>4</v>
      </c>
      <c r="D12" s="45" t="n">
        <v>4</v>
      </c>
      <c r="E12" s="45" t="n">
        <v>6.3</v>
      </c>
      <c r="F12" s="45" t="n">
        <v>-7.3</v>
      </c>
    </row>
    <row r="13">
      <c r="B13" s="9" t="inlineStr">
        <is>
          <t>Aug-2021</t>
        </is>
      </c>
      <c r="C13" s="46" t="n">
        <v>4</v>
      </c>
      <c r="D13" s="46" t="n">
        <v>4</v>
      </c>
      <c r="E13" s="46" t="n">
        <v>5.02</v>
      </c>
      <c r="F13" s="46" t="n">
        <v>20.1</v>
      </c>
    </row>
    <row r="14">
      <c r="B14" s="7" t="inlineStr">
        <is>
          <t>Oct-2021</t>
        </is>
      </c>
      <c r="C14" s="45" t="n">
        <v>4</v>
      </c>
      <c r="D14" s="45" t="n">
        <v>4</v>
      </c>
      <c r="E14" s="45" t="n">
        <v>4.48</v>
      </c>
      <c r="F14" s="45" t="n">
        <v>8.4</v>
      </c>
    </row>
    <row r="15">
      <c r="B15" s="9" t="inlineStr">
        <is>
          <t>Dec-2021</t>
        </is>
      </c>
      <c r="C15" s="46" t="n">
        <v>4</v>
      </c>
      <c r="D15" s="46" t="n">
        <v>4</v>
      </c>
      <c r="E15" s="46" t="n">
        <v>5.09</v>
      </c>
      <c r="F15" s="46" t="n">
        <v>6.6</v>
      </c>
    </row>
    <row r="16">
      <c r="B16" s="7" t="inlineStr">
        <is>
          <t>Feb-2022</t>
        </is>
      </c>
      <c r="C16" s="45" t="n">
        <v>4</v>
      </c>
      <c r="D16" s="45" t="n">
        <v>4</v>
      </c>
      <c r="E16" s="45" t="n">
        <v>6.01</v>
      </c>
      <c r="F16" s="45" t="n">
        <v>9.5</v>
      </c>
    </row>
    <row r="17">
      <c r="B17" s="9" t="inlineStr">
        <is>
          <t>Apr-2022</t>
        </is>
      </c>
      <c r="C17" s="46" t="n">
        <v>4</v>
      </c>
      <c r="D17" s="46" t="n">
        <v>4.4</v>
      </c>
      <c r="E17" s="46" t="n">
        <v>6.95</v>
      </c>
      <c r="F17" s="46" t="n">
        <v>4</v>
      </c>
    </row>
    <row r="18">
      <c r="B18" s="7" t="inlineStr">
        <is>
          <t>May-2022</t>
        </is>
      </c>
      <c r="C18" s="45" t="n">
        <v>4.4</v>
      </c>
      <c r="D18" s="45" t="n">
        <v>4.9</v>
      </c>
      <c r="E18" s="45" t="n">
        <v>7.04</v>
      </c>
      <c r="F18" s="45" t="n">
        <v>4.1</v>
      </c>
    </row>
    <row r="19">
      <c r="B19" s="9" t="inlineStr">
        <is>
          <t>Jun-2022</t>
        </is>
      </c>
      <c r="C19" s="46" t="n">
        <v>4.9</v>
      </c>
      <c r="D19" s="46" t="n">
        <v>4.9</v>
      </c>
      <c r="E19" s="46" t="n">
        <v>7.04</v>
      </c>
      <c r="F19" s="46" t="n">
        <v>13.5</v>
      </c>
    </row>
    <row r="20">
      <c r="B20" s="7" t="inlineStr">
        <is>
          <t>Aug-2022</t>
        </is>
      </c>
      <c r="C20" s="45" t="n">
        <v>4.9</v>
      </c>
      <c r="D20" s="45" t="n">
        <v>5.15</v>
      </c>
      <c r="E20" s="45" t="n">
        <v>6.71</v>
      </c>
      <c r="F20" s="45" t="n">
        <v>-10.5</v>
      </c>
    </row>
    <row r="21">
      <c r="B21" s="9" t="inlineStr">
        <is>
          <t>Sep-2022</t>
        </is>
      </c>
      <c r="C21" s="46" t="n">
        <v>5.15</v>
      </c>
      <c r="D21" s="46" t="n">
        <v>5.15</v>
      </c>
      <c r="E21" s="46" t="n">
        <v>6.71</v>
      </c>
      <c r="F21" s="46" t="n">
        <v>13.5</v>
      </c>
    </row>
    <row r="22">
      <c r="B22" s="7" t="inlineStr">
        <is>
          <t>Nov-2022</t>
        </is>
      </c>
      <c r="C22" s="45" t="n">
        <v>5.15</v>
      </c>
      <c r="D22" s="45" t="n">
        <v>5.15</v>
      </c>
      <c r="E22" s="45" t="n">
        <v>5.55</v>
      </c>
      <c r="F22" s="45" t="n">
        <v>4</v>
      </c>
    </row>
    <row r="23">
      <c r="B23" s="9" t="inlineStr">
        <is>
          <t>Jan-2023</t>
        </is>
      </c>
      <c r="C23" s="46" t="n">
        <v>5.15</v>
      </c>
      <c r="D23" s="46" t="n">
        <v>5.15</v>
      </c>
      <c r="E23" s="46" t="n">
        <v>6.52</v>
      </c>
      <c r="F23" s="46" t="n">
        <v>13.7</v>
      </c>
    </row>
    <row r="24">
      <c r="B24" s="7" t="inlineStr">
        <is>
          <t>Mar-2023</t>
        </is>
      </c>
      <c r="C24" s="45" t="n">
        <v>5.15</v>
      </c>
      <c r="D24" s="45" t="n">
        <v>5.15</v>
      </c>
      <c r="E24" s="45" t="n">
        <v>5.77</v>
      </c>
      <c r="F24" s="45" t="n">
        <v>10</v>
      </c>
    </row>
    <row r="25">
      <c r="B25" s="9" t="inlineStr">
        <is>
          <t>May-2023</t>
        </is>
      </c>
      <c r="C25" s="46" t="n">
        <v>5.15</v>
      </c>
      <c r="D25" s="46" t="n">
        <v>5.15</v>
      </c>
      <c r="E25" s="46" t="n">
        <v>4.23</v>
      </c>
      <c r="F25" s="46" t="n">
        <v>13</v>
      </c>
    </row>
    <row r="26">
      <c r="B26" s="7" t="inlineStr">
        <is>
          <t>Jun-2023</t>
        </is>
      </c>
      <c r="C26" s="45" t="n">
        <v>5.15</v>
      </c>
      <c r="D26" s="45" t="n">
        <v>5.15</v>
      </c>
      <c r="E26" s="45" t="n">
        <v>4.7</v>
      </c>
      <c r="F26" s="45" t="n">
        <v>14.4</v>
      </c>
    </row>
    <row r="27">
      <c r="B27" s="9" t="inlineStr">
        <is>
          <t>Aug-2023</t>
        </is>
      </c>
      <c r="C27" s="46" t="n">
        <v>5.15</v>
      </c>
      <c r="D27" s="46" t="n">
        <v>5.15</v>
      </c>
      <c r="E27" s="46" t="n">
        <v>7.44</v>
      </c>
      <c r="F27" s="46" t="n">
        <v>-0.8</v>
      </c>
    </row>
    <row r="28">
      <c r="B28" s="7" t="inlineStr">
        <is>
          <t>Oct-2023</t>
        </is>
      </c>
      <c r="C28" s="45" t="n">
        <v>5.15</v>
      </c>
      <c r="D28" s="45" t="n">
        <v>5.15</v>
      </c>
      <c r="E28" s="45" t="n">
        <v>4.87</v>
      </c>
      <c r="F28" s="45" t="n">
        <v>6.2</v>
      </c>
    </row>
    <row r="29">
      <c r="B29" s="9" t="inlineStr">
        <is>
          <t>Dec-2023</t>
        </is>
      </c>
      <c r="C29" s="46" t="n">
        <v>5.15</v>
      </c>
      <c r="D29" s="46" t="n">
        <v>5.15</v>
      </c>
      <c r="E29" s="46" t="n">
        <v>5.69</v>
      </c>
      <c r="F29" s="46" t="n">
        <v>14.9</v>
      </c>
    </row>
    <row r="30">
      <c r="B30" s="7" t="inlineStr">
        <is>
          <t>Feb-2024</t>
        </is>
      </c>
      <c r="C30" s="45" t="n">
        <v>5.15</v>
      </c>
      <c r="D30" s="45" t="n">
        <v>5.15</v>
      </c>
      <c r="E30" s="45" t="n">
        <v>5.09</v>
      </c>
      <c r="F30" s="45" t="n">
        <v>9.6</v>
      </c>
    </row>
    <row r="31">
      <c r="B31" s="9" t="inlineStr">
        <is>
          <t>Apr-2024</t>
        </is>
      </c>
      <c r="C31" s="46" t="n">
        <v>5.15</v>
      </c>
      <c r="D31" s="46" t="n">
        <v>5.15</v>
      </c>
      <c r="E31" s="46" t="n">
        <v>4.83</v>
      </c>
      <c r="F31" s="46" t="n">
        <v>7.8</v>
      </c>
    </row>
    <row r="32">
      <c r="B32" s="7" t="inlineStr">
        <is>
          <t>Jun-2024</t>
        </is>
      </c>
      <c r="C32" s="45" t="n">
        <v>5.15</v>
      </c>
      <c r="D32" s="45" t="n">
        <v>5.15</v>
      </c>
      <c r="E32" s="45" t="n">
        <v>4.75</v>
      </c>
      <c r="F32" s="45" t="n">
        <v>2</v>
      </c>
    </row>
    <row r="33">
      <c r="B33" s="9" t="inlineStr">
        <is>
          <t>Aug-2024</t>
        </is>
      </c>
      <c r="C33" s="46" t="n">
        <v>5.15</v>
      </c>
      <c r="D33" s="46" t="n">
        <v>5.15</v>
      </c>
      <c r="E33" s="46" t="n">
        <v>3.54</v>
      </c>
      <c r="F33" s="46" t="n">
        <v>-0.2</v>
      </c>
    </row>
    <row r="34">
      <c r="B34" s="7" t="inlineStr">
        <is>
          <t>Oct-2024</t>
        </is>
      </c>
      <c r="C34" s="45" t="n">
        <v>5.15</v>
      </c>
      <c r="D34" s="45" t="n">
        <v>6.5</v>
      </c>
      <c r="E34" s="45" t="n">
        <v>6.21</v>
      </c>
      <c r="F34" s="45" t="n">
        <v>3.1</v>
      </c>
    </row>
    <row r="35">
      <c r="B35" s="9" t="inlineStr">
        <is>
          <t>Dec-2024</t>
        </is>
      </c>
      <c r="C35" s="46" t="n">
        <v>6.5</v>
      </c>
      <c r="D35" s="46" t="n">
        <v>6.25</v>
      </c>
      <c r="E35" s="46" t="n">
        <v>5.48</v>
      </c>
      <c r="F35" s="46" t="n">
        <v>5.2</v>
      </c>
    </row>
    <row r="36">
      <c r="B36" s="7" t="inlineStr">
        <is>
          <t>Feb-2025</t>
        </is>
      </c>
      <c r="C36" s="45" t="n">
        <v>6.25</v>
      </c>
      <c r="D36" s="45" t="n">
        <v>6</v>
      </c>
      <c r="E36" s="45" t="n">
        <v>4.26</v>
      </c>
      <c r="F36" s="45" t="n">
        <v>-11.8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B1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2" customWidth="1" min="4" max="4"/>
    <col width="40" customWidth="1" min="5" max="5"/>
  </cols>
  <sheetData>
    <row r="1">
      <c r="B1" s="21" t="inlineStr">
        <is>
          <t>INPUT ASSUMPTIONS — UPDATE BEFORE EACH MPC</t>
        </is>
      </c>
    </row>
    <row r="2">
      <c r="B2" s="47" t="inlineStr">
        <is>
          <t>Last updated: [Enter date]</t>
        </is>
      </c>
    </row>
    <row r="4">
      <c r="B4" s="22" t="inlineStr">
        <is>
          <t>Parameter</t>
        </is>
      </c>
      <c r="C4" s="22" t="inlineStr">
        <is>
          <t>Value</t>
        </is>
      </c>
      <c r="D4" s="22" t="inlineStr">
        <is>
          <t>Unit</t>
        </is>
      </c>
      <c r="E4" s="22" t="inlineStr">
        <is>
          <t>Source</t>
        </is>
      </c>
    </row>
    <row r="5">
      <c r="B5" s="23" t="inlineStr">
        <is>
          <t>CPI Inflation (YoY)</t>
        </is>
      </c>
      <c r="C5" s="45" t="n">
        <v>4.26</v>
      </c>
      <c r="D5" s="7" t="inlineStr">
        <is>
          <t>%</t>
        </is>
      </c>
      <c r="E5" s="26" t="inlineStr">
        <is>
          <t>MOSPI / RBI</t>
        </is>
      </c>
    </row>
    <row r="6">
      <c r="B6" s="48" t="inlineStr">
        <is>
          <t>Core CPI</t>
        </is>
      </c>
      <c r="C6" s="46" t="n">
        <v>4.1</v>
      </c>
      <c r="D6" s="9" t="inlineStr">
        <is>
          <t>%</t>
        </is>
      </c>
      <c r="E6" s="49" t="inlineStr">
        <is>
          <t>MOSPI</t>
        </is>
      </c>
    </row>
    <row r="7">
      <c r="B7" s="23" t="inlineStr">
        <is>
          <t>WPI Inflation (YoY)</t>
        </is>
      </c>
      <c r="C7" s="45" t="n">
        <v>2.31</v>
      </c>
      <c r="D7" s="7" t="inlineStr">
        <is>
          <t>%</t>
        </is>
      </c>
      <c r="E7" s="26" t="inlineStr">
        <is>
          <t>MOSPI</t>
        </is>
      </c>
    </row>
    <row r="8">
      <c r="B8" s="48" t="inlineStr">
        <is>
          <t>GDP Growth (FY estimate)</t>
        </is>
      </c>
      <c r="C8" s="46" t="n">
        <v>6.5</v>
      </c>
      <c r="D8" s="9" t="inlineStr">
        <is>
          <t>%</t>
        </is>
      </c>
      <c r="E8" s="49" t="inlineStr">
        <is>
          <t>RBI / NSO</t>
        </is>
      </c>
    </row>
    <row r="9">
      <c r="B9" s="23" t="inlineStr">
        <is>
          <t>IIP Growth</t>
        </is>
      </c>
      <c r="C9" s="45" t="n">
        <v>5.2</v>
      </c>
      <c r="D9" s="7" t="inlineStr">
        <is>
          <t>%</t>
        </is>
      </c>
      <c r="E9" s="26" t="inlineStr">
        <is>
          <t>MOSPI</t>
        </is>
      </c>
    </row>
    <row r="10">
      <c r="B10" s="48" t="inlineStr">
        <is>
          <t>CAD (% of GDP)</t>
        </is>
      </c>
      <c r="C10" s="46" t="n">
        <v>1.2</v>
      </c>
      <c r="D10" s="9" t="inlineStr">
        <is>
          <t>%</t>
        </is>
      </c>
      <c r="E10" s="49" t="inlineStr">
        <is>
          <t>RBI</t>
        </is>
      </c>
    </row>
    <row r="11">
      <c r="B11" s="23" t="inlineStr">
        <is>
          <t>Brent Crude ($/bbl)</t>
        </is>
      </c>
      <c r="C11" s="45" t="n">
        <v>72</v>
      </c>
      <c r="D11" s="7" t="inlineStr">
        <is>
          <t>$</t>
        </is>
      </c>
      <c r="E11" s="26" t="inlineStr">
        <is>
          <t>Bloomberg</t>
        </is>
      </c>
    </row>
    <row r="12">
      <c r="B12" s="48" t="inlineStr">
        <is>
          <t>Fed Funds Rate (upper)</t>
        </is>
      </c>
      <c r="C12" s="46" t="n">
        <v>4.5</v>
      </c>
      <c r="D12" s="9" t="inlineStr">
        <is>
          <t>%</t>
        </is>
      </c>
      <c r="E12" s="49" t="inlineStr">
        <is>
          <t>US Fed</t>
        </is>
      </c>
    </row>
    <row r="13">
      <c r="B13" s="23" t="inlineStr">
        <is>
          <t>USD/INR</t>
        </is>
      </c>
      <c r="C13" s="45" t="n">
        <v>86.5</v>
      </c>
      <c r="D13" s="7" t="inlineStr"/>
      <c r="E13" s="26" t="inlineStr">
        <is>
          <t>RBI reference rate</t>
        </is>
      </c>
    </row>
    <row r="14">
      <c r="B14" s="48" t="inlineStr">
        <is>
          <t>Forex Reserves ($ bn)</t>
        </is>
      </c>
      <c r="C14" s="46" t="n">
        <v>640</v>
      </c>
      <c r="D14" s="9" t="inlineStr">
        <is>
          <t>$ bn</t>
        </is>
      </c>
      <c r="E14" s="49" t="inlineStr">
        <is>
          <t>RBI</t>
        </is>
      </c>
    </row>
    <row r="15">
      <c r="B15" s="23" t="inlineStr">
        <is>
          <t>FII Net Flows (monthly)</t>
        </is>
      </c>
      <c r="C15" s="45" t="n">
        <v>1.5</v>
      </c>
      <c r="D15" s="7" t="inlineStr">
        <is>
          <t>$ bn</t>
        </is>
      </c>
      <c r="E15" s="26" t="inlineStr">
        <is>
          <t>NSDL / SEBI</t>
        </is>
      </c>
    </row>
    <row r="16">
      <c r="B16" s="48" t="inlineStr">
        <is>
          <t>MIBOR-OIS Spread</t>
        </is>
      </c>
      <c r="C16" s="46" t="n">
        <v>15</v>
      </c>
      <c r="D16" s="9" t="inlineStr">
        <is>
          <t>bps</t>
        </is>
      </c>
      <c r="E16" s="49" t="inlineStr">
        <is>
          <t>FIMMDA</t>
        </is>
      </c>
    </row>
    <row r="17">
      <c r="B17" s="23" t="inlineStr">
        <is>
          <t>LAF Balance</t>
        </is>
      </c>
      <c r="C17" s="45" t="n">
        <v>-20000</v>
      </c>
      <c r="D17" s="7" t="inlineStr">
        <is>
          <t>₹ Cr</t>
        </is>
      </c>
      <c r="E17" s="26" t="inlineStr">
        <is>
          <t>RBI daily data</t>
        </is>
      </c>
    </row>
    <row r="18">
      <c r="B18" s="48" t="inlineStr">
        <is>
          <t>MPC Next Meeting Date</t>
        </is>
      </c>
      <c r="C18" s="9" t="inlineStr">
        <is>
          <t>Apr 2026</t>
        </is>
      </c>
      <c r="D18" s="9" t="inlineStr"/>
      <c r="E18" s="49" t="inlineStr">
        <is>
          <t>RBI website</t>
        </is>
      </c>
    </row>
    <row r="19">
      <c r="B19" s="23" t="inlineStr">
        <is>
          <t>MPC Stance</t>
        </is>
      </c>
      <c r="C19" s="7" t="inlineStr">
        <is>
          <t>Accommodative</t>
        </is>
      </c>
      <c r="D19" s="7" t="inlineStr"/>
      <c r="E19" s="26" t="inlineStr">
        <is>
          <t>MPC statement</t>
        </is>
      </c>
    </row>
    <row r="22">
      <c r="B22" s="19" t="inlineStr">
        <is>
          <t>KEY DATA SOURCES</t>
        </is>
      </c>
    </row>
    <row r="23">
      <c r="B23" s="50" t="inlineStr">
        <is>
          <t>CPI / WPI / IIP</t>
        </is>
      </c>
      <c r="C23" s="51" t="inlineStr">
        <is>
          <t>MOSPI — mospi.gov.in, updated monthly</t>
        </is>
      </c>
    </row>
    <row r="24">
      <c r="B24" s="50" t="inlineStr">
        <is>
          <t>GDP</t>
        </is>
      </c>
      <c r="C24" s="51" t="inlineStr">
        <is>
          <t>NSO advance/revised estimates — mospi.gov.in</t>
        </is>
      </c>
    </row>
    <row r="25">
      <c r="B25" s="50" t="inlineStr">
        <is>
          <t>CAD / Forex / LAF</t>
        </is>
      </c>
      <c r="C25" s="51" t="inlineStr">
        <is>
          <t>RBI Weekly Statistical Supplement — rbi.org.in</t>
        </is>
      </c>
    </row>
    <row r="26">
      <c r="B26" s="50" t="inlineStr">
        <is>
          <t>FII Flows</t>
        </is>
      </c>
      <c r="C26" s="51" t="inlineStr">
        <is>
          <t>NSDL data — nsdl.co.in</t>
        </is>
      </c>
    </row>
    <row r="27">
      <c r="B27" s="50" t="inlineStr">
        <is>
          <t>MIBOR / OIS</t>
        </is>
      </c>
      <c r="C27" s="51" t="inlineStr">
        <is>
          <t>FIMMDA — fimmda.org / Bloomberg</t>
        </is>
      </c>
    </row>
    <row r="28">
      <c r="B28" s="50" t="inlineStr">
        <is>
          <t>Fed Funds Rate</t>
        </is>
      </c>
      <c r="C28" s="51" t="inlineStr">
        <is>
          <t>federalreserve.gov — FOMC statements</t>
        </is>
      </c>
    </row>
    <row r="29">
      <c r="B29" s="50" t="inlineStr">
        <is>
          <t>Crude Oil</t>
        </is>
      </c>
      <c r="C29" s="51" t="inlineStr">
        <is>
          <t>Bloomberg / CNBC / Reuters commodities</t>
        </is>
      </c>
    </row>
    <row r="30">
      <c r="B30" s="50" t="inlineStr">
        <is>
          <t>MPC Decisions</t>
        </is>
      </c>
      <c r="C30" s="51" t="inlineStr">
        <is>
          <t>RBI MPC press releases — rbi.org.in</t>
        </is>
      </c>
    </row>
  </sheetData>
  <mergeCells count="10">
    <mergeCell ref="C28:E28"/>
    <mergeCell ref="C27:E27"/>
    <mergeCell ref="B1:D1"/>
    <mergeCell ref="C23:E23"/>
    <mergeCell ref="C26:E26"/>
    <mergeCell ref="C25:E25"/>
    <mergeCell ref="C29:E29"/>
    <mergeCell ref="C30:E30"/>
    <mergeCell ref="B22:E22"/>
    <mergeCell ref="C24:E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B1:G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>
      <c r="B1" s="21" t="inlineStr">
        <is>
          <t>WEIGHT CALIBRATION FRAMEWORK</t>
        </is>
      </c>
    </row>
    <row r="2">
      <c r="B2" s="52" t="inlineStr">
        <is>
          <t>Rationale: CPI carries highest weight because RBI's primary mandate is inflation targeting (4±2%). MPC members consistently cite CPI as the deciding factor.</t>
        </is>
      </c>
    </row>
    <row r="4">
      <c r="B4" s="22" t="inlineStr">
        <is>
          <t>Indicator</t>
        </is>
      </c>
      <c r="C4" s="22" t="inlineStr">
        <is>
          <t>Assigned Weight</t>
        </is>
      </c>
      <c r="D4" s="22" t="inlineStr">
        <is>
          <t>MPC Mentions (2024)</t>
        </is>
      </c>
      <c r="E4" s="22" t="inlineStr">
        <is>
          <t>Predictive Power</t>
        </is>
      </c>
      <c r="F4" s="22" t="inlineStr">
        <is>
          <t>Confidence</t>
        </is>
      </c>
      <c r="G4" s="22" t="inlineStr">
        <is>
          <t>Rationale</t>
        </is>
      </c>
    </row>
    <row r="5">
      <c r="B5" s="53" t="inlineStr">
        <is>
          <t>CPI Inflation</t>
        </is>
      </c>
      <c r="C5" s="24" t="n">
        <v>0.18</v>
      </c>
      <c r="D5" s="7" t="inlineStr">
        <is>
          <t>Every meeting</t>
        </is>
      </c>
      <c r="E5" s="7" t="inlineStr">
        <is>
          <t>High</t>
        </is>
      </c>
      <c r="F5" s="7" t="inlineStr">
        <is>
          <t>High</t>
        </is>
      </c>
      <c r="G5" s="8" t="inlineStr">
        <is>
          <t>Primary mandate — always cited in statement</t>
        </is>
      </c>
    </row>
    <row r="6">
      <c r="B6" s="54" t="inlineStr">
        <is>
          <t>Core CPI</t>
        </is>
      </c>
      <c r="C6" s="55" t="n">
        <v>0.1</v>
      </c>
      <c r="D6" s="9" t="inlineStr">
        <is>
          <t>Most meetings</t>
        </is>
      </c>
      <c r="E6" s="9" t="inlineStr">
        <is>
          <t>High</t>
        </is>
      </c>
      <c r="F6" s="9" t="inlineStr">
        <is>
          <t>High</t>
        </is>
      </c>
      <c r="G6" s="10" t="inlineStr">
        <is>
          <t>RBI's preferred measure for persistence</t>
        </is>
      </c>
    </row>
    <row r="7">
      <c r="B7" s="53" t="inlineStr">
        <is>
          <t>GDP Growth</t>
        </is>
      </c>
      <c r="C7" s="24" t="n">
        <v>0.12</v>
      </c>
      <c r="D7" s="7" t="inlineStr">
        <is>
          <t>Every meeting</t>
        </is>
      </c>
      <c r="E7" s="7" t="inlineStr">
        <is>
          <t>High</t>
        </is>
      </c>
      <c r="F7" s="7" t="inlineStr">
        <is>
          <t>High</t>
        </is>
      </c>
      <c r="G7" s="8" t="inlineStr">
        <is>
          <t>Output gap determines easing room</t>
        </is>
      </c>
    </row>
    <row r="8">
      <c r="B8" s="54" t="inlineStr">
        <is>
          <t>CAD</t>
        </is>
      </c>
      <c r="C8" s="55" t="n">
        <v>0.08</v>
      </c>
      <c r="D8" s="9" t="inlineStr">
        <is>
          <t>4 of 6 meetings</t>
        </is>
      </c>
      <c r="E8" s="9" t="inlineStr">
        <is>
          <t>Medium</t>
        </is>
      </c>
      <c r="F8" s="9" t="inlineStr">
        <is>
          <t>Medium</t>
        </is>
      </c>
      <c r="G8" s="10" t="inlineStr">
        <is>
          <t>External balance affects rupee &amp; policy space</t>
        </is>
      </c>
    </row>
    <row r="9">
      <c r="B9" s="53" t="inlineStr">
        <is>
          <t>Crude Oil</t>
        </is>
      </c>
      <c r="C9" s="24" t="n">
        <v>0.07000000000000001</v>
      </c>
      <c r="D9" s="7" t="inlineStr">
        <is>
          <t>3 of 6 meetings</t>
        </is>
      </c>
      <c r="E9" s="7" t="inlineStr">
        <is>
          <t>Medium</t>
        </is>
      </c>
      <c r="F9" s="7" t="inlineStr">
        <is>
          <t>Medium</t>
        </is>
      </c>
      <c r="G9" s="8" t="inlineStr">
        <is>
          <t>Key input for inflation &amp; CAD</t>
        </is>
      </c>
    </row>
    <row r="10">
      <c r="B10" s="54" t="inlineStr">
        <is>
          <t>Fed Funds Rate</t>
        </is>
      </c>
      <c r="C10" s="55" t="n">
        <v>0.06</v>
      </c>
      <c r="D10" s="9" t="inlineStr">
        <is>
          <t>3 of 6 meetings</t>
        </is>
      </c>
      <c r="E10" s="9" t="inlineStr">
        <is>
          <t>Medium</t>
        </is>
      </c>
      <c r="F10" s="9" t="inlineStr">
        <is>
          <t>Medium</t>
        </is>
      </c>
      <c r="G10" s="10" t="inlineStr">
        <is>
          <t>Limits RBI's easing if differential widens</t>
        </is>
      </c>
    </row>
    <row r="11">
      <c r="B11" s="53" t="inlineStr">
        <is>
          <t>LAF Liquidity</t>
        </is>
      </c>
      <c r="C11" s="24" t="n">
        <v>0.06</v>
      </c>
      <c r="D11" s="7" t="inlineStr">
        <is>
          <t>4 of 6 meetings</t>
        </is>
      </c>
      <c r="E11" s="7" t="inlineStr">
        <is>
          <t>Medium</t>
        </is>
      </c>
      <c r="F11" s="7" t="inlineStr">
        <is>
          <t>Medium</t>
        </is>
      </c>
      <c r="G11" s="8" t="inlineStr">
        <is>
          <t>Operational signal of stance</t>
        </is>
      </c>
    </row>
    <row r="12">
      <c r="B12" s="54" t="inlineStr">
        <is>
          <t>MIBOR-OIS Spread</t>
        </is>
      </c>
      <c r="C12" s="55" t="n">
        <v>0.05</v>
      </c>
      <c r="D12" s="9" t="inlineStr">
        <is>
          <t>2 of 6 meetings</t>
        </is>
      </c>
      <c r="E12" s="9" t="inlineStr">
        <is>
          <t>Low-Med</t>
        </is>
      </c>
      <c r="F12" s="9" t="inlineStr">
        <is>
          <t>Medium</t>
        </is>
      </c>
      <c r="G12" s="10" t="inlineStr">
        <is>
          <t>Real-time liquidity stress gauge</t>
        </is>
      </c>
    </row>
    <row r="13">
      <c r="B13" s="53" t="inlineStr">
        <is>
          <t>USD/INR</t>
        </is>
      </c>
      <c r="C13" s="24" t="n">
        <v>0.05</v>
      </c>
      <c r="D13" s="7" t="inlineStr">
        <is>
          <t>2 of 6 meetings</t>
        </is>
      </c>
      <c r="E13" s="7" t="inlineStr">
        <is>
          <t>Low-Med</t>
        </is>
      </c>
      <c r="F13" s="7" t="inlineStr">
        <is>
          <t>Medium</t>
        </is>
      </c>
      <c r="G13" s="8" t="inlineStr">
        <is>
          <t>Imported inflation channel</t>
        </is>
      </c>
    </row>
    <row r="14">
      <c r="B14" s="54" t="inlineStr">
        <is>
          <t>WPI Inflation</t>
        </is>
      </c>
      <c r="C14" s="55" t="n">
        <v>0.05</v>
      </c>
      <c r="D14" s="9" t="inlineStr">
        <is>
          <t>1 of 6 meetings</t>
        </is>
      </c>
      <c r="E14" s="9" t="inlineStr">
        <is>
          <t>Low</t>
        </is>
      </c>
      <c r="F14" s="9" t="inlineStr">
        <is>
          <t>Low</t>
        </is>
      </c>
      <c r="G14" s="10" t="inlineStr">
        <is>
          <t>Lagging indicator, less policy-relevant</t>
        </is>
      </c>
    </row>
    <row r="15">
      <c r="B15" s="53" t="inlineStr">
        <is>
          <t>FII Flows</t>
        </is>
      </c>
      <c r="C15" s="24" t="n">
        <v>0.04</v>
      </c>
      <c r="D15" s="7" t="inlineStr">
        <is>
          <t>1 of 6 meetings</t>
        </is>
      </c>
      <c r="E15" s="7" t="inlineStr">
        <is>
          <t>Low</t>
        </is>
      </c>
      <c r="F15" s="7" t="inlineStr">
        <is>
          <t>Low</t>
        </is>
      </c>
      <c r="G15" s="8" t="inlineStr">
        <is>
          <t>Capital flow pressure, not direct MPC driver</t>
        </is>
      </c>
    </row>
    <row r="16">
      <c r="B16" s="54" t="inlineStr">
        <is>
          <t>IIP Growth</t>
        </is>
      </c>
      <c r="C16" s="55" t="n">
        <v>0.04</v>
      </c>
      <c r="D16" s="9" t="inlineStr">
        <is>
          <t>1 of 6 meetings</t>
        </is>
      </c>
      <c r="E16" s="9" t="inlineStr">
        <is>
          <t>Low</t>
        </is>
      </c>
      <c r="F16" s="9" t="inlineStr">
        <is>
          <t>Low</t>
        </is>
      </c>
      <c r="G16" s="10" t="inlineStr">
        <is>
          <t>Granular industrial data, not macro driver</t>
        </is>
      </c>
    </row>
    <row r="17">
      <c r="B17" s="53" t="inlineStr">
        <is>
          <t>Forex Reserves</t>
        </is>
      </c>
      <c r="C17" s="24" t="n">
        <v>0.04</v>
      </c>
      <c r="D17" s="7" t="inlineStr">
        <is>
          <t>0 of 6 meetings</t>
        </is>
      </c>
      <c r="E17" s="7" t="inlineStr">
        <is>
          <t>Low</t>
        </is>
      </c>
      <c r="F17" s="7" t="inlineStr">
        <is>
          <t>Low</t>
        </is>
      </c>
      <c r="G17" s="8" t="inlineStr">
        <is>
          <t>Buffer metric, not rate signal</t>
        </is>
      </c>
    </row>
    <row r="18">
      <c r="B18" s="56" t="inlineStr">
        <is>
          <t>TOTAL</t>
        </is>
      </c>
      <c r="C18" s="31">
        <f>SUM(C5:C17)</f>
        <v/>
      </c>
      <c r="D18" s="32" t="n"/>
      <c r="E18" s="32" t="n"/>
      <c r="F18" s="32" t="n"/>
      <c r="G18" s="32" t="n"/>
    </row>
  </sheetData>
  <mergeCells count="2">
    <mergeCell ref="B2:G2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B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30" customWidth="1" min="4" max="4"/>
    <col width="30" customWidth="1" min="5" max="5"/>
  </cols>
  <sheetData>
    <row r="1">
      <c r="B1" s="21" t="inlineStr">
        <is>
          <t>RBI MPC MEETING CALENDAR — FY25-26</t>
        </is>
      </c>
    </row>
    <row r="3">
      <c r="B3" s="22" t="inlineStr">
        <is>
          <t>MPC Meeting</t>
        </is>
      </c>
      <c r="C3" s="22" t="inlineStr">
        <is>
          <t>Decision Date</t>
        </is>
      </c>
      <c r="D3" s="22" t="inlineStr">
        <is>
          <t>Status</t>
        </is>
      </c>
      <c r="E3" s="22" t="inlineStr">
        <is>
          <t>Pre-Meeting Actions</t>
        </is>
      </c>
    </row>
    <row r="4">
      <c r="B4" s="7" t="inlineStr">
        <is>
          <t>Feb 2026</t>
        </is>
      </c>
      <c r="C4" s="7" t="inlineStr">
        <is>
          <t>Feb 6-8, 2026</t>
        </is>
      </c>
      <c r="D4" s="57" t="inlineStr">
        <is>
          <t>Completed — Cut to 6.00%</t>
        </is>
      </c>
      <c r="E4" s="8" t="inlineStr">
        <is>
          <t>Update scoring with Jan CPI</t>
        </is>
      </c>
    </row>
    <row r="5">
      <c r="B5" s="9" t="inlineStr">
        <is>
          <t>Apr 2026</t>
        </is>
      </c>
      <c r="C5" s="9" t="inlineStr">
        <is>
          <t>Apr 7-9, 2026</t>
        </is>
      </c>
      <c r="D5" s="58" t="inlineStr">
        <is>
          <t>Upcoming</t>
        </is>
      </c>
      <c r="E5" s="10" t="inlineStr">
        <is>
          <t>Update with Mar CPI, Q4 GDP advance</t>
        </is>
      </c>
    </row>
    <row r="6">
      <c r="B6" s="7" t="inlineStr">
        <is>
          <t>Jun 2026</t>
        </is>
      </c>
      <c r="C6" s="7" t="inlineStr">
        <is>
          <t>Jun 4-6, 2026</t>
        </is>
      </c>
      <c r="D6" s="58" t="inlineStr">
        <is>
          <t>Upcoming</t>
        </is>
      </c>
      <c r="E6" s="8" t="inlineStr">
        <is>
          <t>Update with May CPI, monsoon outlook</t>
        </is>
      </c>
    </row>
    <row r="7">
      <c r="B7" s="9" t="inlineStr">
        <is>
          <t>Aug 2026</t>
        </is>
      </c>
      <c r="C7" s="9" t="inlineStr">
        <is>
          <t>Aug 5-7, 2026</t>
        </is>
      </c>
      <c r="D7" s="58" t="inlineStr">
        <is>
          <t>Upcoming</t>
        </is>
      </c>
      <c r="E7" s="10" t="inlineStr">
        <is>
          <t>Update with Jul CPI, Q1 FY27 GDP</t>
        </is>
      </c>
    </row>
    <row r="8">
      <c r="B8" s="7" t="inlineStr">
        <is>
          <t>Oct 2026</t>
        </is>
      </c>
      <c r="C8" s="7" t="inlineStr">
        <is>
          <t>Oct 7-9, 2026</t>
        </is>
      </c>
      <c r="D8" s="58" t="inlineStr">
        <is>
          <t>Upcoming</t>
        </is>
      </c>
      <c r="E8" s="8" t="inlineStr">
        <is>
          <t>Update with Sep CPI, festive season data</t>
        </is>
      </c>
    </row>
    <row r="9">
      <c r="B9" s="9" t="inlineStr">
        <is>
          <t>Dec 2026</t>
        </is>
      </c>
      <c r="C9" s="9" t="inlineStr">
        <is>
          <t>Dec 3-5, 2026</t>
        </is>
      </c>
      <c r="D9" s="58" t="inlineStr">
        <is>
          <t>Upcoming</t>
        </is>
      </c>
      <c r="E9" s="10" t="inlineStr">
        <is>
          <t>Update with Nov CPI, FY27 budget impact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2026-03-14T18:56:54+00:00Z</dcterms:created>
  <dcterms:modified xmlns:dcterms="http://purl.org/dc/terms/" xmlns:xsi="http://www.w3.org/2001/XMLSchema-instance" xsi:type="dcterms:W3CDTF">2026-03-14T18:56:54+00:00Z</dcterms:modified>
</cp:coreProperties>
</file>